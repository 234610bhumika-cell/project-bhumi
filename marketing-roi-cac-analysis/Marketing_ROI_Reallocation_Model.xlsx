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 Data" sheetId="1" r:id="rId4"/>
    <sheet state="visible" name="Reallocation Scenario" sheetId="2" r:id="rId5"/>
  </sheets>
  <definedNames/>
  <calcPr/>
  <extLst>
    <ext uri="GoogleSheetsCustomDataVersion2">
      <go:sheetsCustomData xmlns:go="http://customooxmlschemas.google.com/" r:id="rId6" roundtripDataChecksum="94ZnoJNx/a48eczqRhRIpm1Xo486MZUZ8z/DOY7CATM="/>
    </ext>
  </extLst>
</workbook>
</file>

<file path=xl/sharedStrings.xml><?xml version="1.0" encoding="utf-8"?>
<sst xmlns="http://schemas.openxmlformats.org/spreadsheetml/2006/main" count="45" uniqueCount="42">
  <si>
    <t>Channel</t>
  </si>
  <si>
    <t>Avg Order Value ($)</t>
  </si>
  <si>
    <t>CLV : CAC Ratio</t>
  </si>
  <si>
    <t>CAC ($)</t>
  </si>
  <si>
    <t>Conversion Rate</t>
  </si>
  <si>
    <t>Estimated CLV ($)</t>
  </si>
  <si>
    <t>ROI (%)</t>
  </si>
  <si>
    <t>Spend</t>
  </si>
  <si>
    <t>Total New Customers</t>
  </si>
  <si>
    <t>Revenue</t>
  </si>
  <si>
    <t>Affiliate Marketing</t>
  </si>
  <si>
    <t>Content/SEO</t>
  </si>
  <si>
    <t>Direct Mail</t>
  </si>
  <si>
    <t>Email Marketing</t>
  </si>
  <si>
    <t>Facebook/Instagram Ads</t>
  </si>
  <si>
    <t>Google Search Ads</t>
  </si>
  <si>
    <t>Referral Program</t>
  </si>
  <si>
    <t>TV/Radio</t>
  </si>
  <si>
    <t>Marketing Budget Reallocation Scenario</t>
  </si>
  <si>
    <t>Scenario Inputs</t>
  </si>
  <si>
    <t>From Channel (underperformer)</t>
  </si>
  <si>
    <t>To Channel (top performer)</t>
  </si>
  <si>
    <t>% of Spend to Shift</t>
  </si>
  <si>
    <t>Current 'From' Channel Spend</t>
  </si>
  <si>
    <t>Amount Shifted</t>
  </si>
  <si>
    <t>New 'From' Channel Spend</t>
  </si>
  <si>
    <t>Current 'To' Channel Spend</t>
  </si>
  <si>
    <t>New 'To' Channel Spend</t>
  </si>
  <si>
    <t>Revenue-to-Spend Ratios</t>
  </si>
  <si>
    <t>'From' Channel Revenue-to-Spend Ratio</t>
  </si>
  <si>
    <t>'To' Channel Revenue-to-Spend Ratio</t>
  </si>
  <si>
    <t>Projected Revenue Impact</t>
  </si>
  <si>
    <t>Revenue Lost from 'From' Channel</t>
  </si>
  <si>
    <t>Revenue Gained from 'To' Channel</t>
  </si>
  <si>
    <t>Net Projected Revenue Gain</t>
  </si>
  <si>
    <t>Sensitivity: Net Revenue Gain at Different Shift Levels</t>
  </si>
  <si>
    <t>% Shifted</t>
  </si>
  <si>
    <t>Total Revenue: Current vs. Reallocated</t>
  </si>
  <si>
    <t>Scenario</t>
  </si>
  <si>
    <t>Total Revenue</t>
  </si>
  <si>
    <t>Current Allocation</t>
  </si>
  <si>
    <t>After Reallocation (20% shift)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</si>
</sst>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$#,##0.00"/>
    <numFmt numFmtId="165" formatCode="0.00\x"/>
    <numFmt numFmtId="166" formatCode="0.0%"/>
  </numFmts>
  <fonts count="9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rgb="FF000000"/>
      <name val="Arial"/>
    </font>
    <font>
      <i/>
      <sz val="9.0"/>
      <color rgb="FF666666"/>
      <name val="Arial"/>
    </font>
    <font>
      <b/>
      <sz val="14.0"/>
      <color theme="1"/>
      <name val="Arial"/>
    </font>
    <font>
      <b/>
      <sz val="11.0"/>
      <color theme="1"/>
      <name val="Arial"/>
    </font>
    <font/>
    <font>
      <sz val="11.0"/>
      <color rgb="FF0000FF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C6E0B4"/>
        <bgColor rgb="FFC6E0B4"/>
      </patternFill>
    </fill>
  </fills>
  <borders count="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bottom" wrapText="0"/>
    </xf>
    <xf borderId="1" fillId="0" fontId="2" numFmtId="164" xfId="0" applyAlignment="1" applyBorder="1" applyFont="1" applyNumberFormat="1">
      <alignment shrinkToFit="0" vertical="bottom" wrapText="0"/>
    </xf>
    <xf borderId="1" fillId="0" fontId="2" numFmtId="165" xfId="0" applyAlignment="1" applyBorder="1" applyFont="1" applyNumberFormat="1">
      <alignment shrinkToFit="0" vertical="bottom" wrapText="0"/>
    </xf>
    <xf borderId="1" fillId="0" fontId="2" numFmtId="166" xfId="0" applyAlignment="1" applyBorder="1" applyFont="1" applyNumberFormat="1">
      <alignment shrinkToFit="0" vertical="bottom" wrapText="0"/>
    </xf>
    <xf borderId="1" fillId="0" fontId="2" numFmtId="3" xfId="0" applyAlignment="1" applyBorder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2" fillId="3" fontId="5" numFmtId="0" xfId="0" applyAlignment="1" applyBorder="1" applyFill="1" applyFont="1">
      <alignment shrinkToFit="0" vertical="bottom" wrapText="0"/>
    </xf>
    <xf borderId="3" fillId="0" fontId="6" numFmtId="0" xfId="0" applyBorder="1" applyFont="1"/>
    <xf borderId="0" fillId="0" fontId="2" numFmtId="0" xfId="0" applyAlignment="1" applyFont="1">
      <alignment shrinkToFit="0" vertical="bottom" wrapText="0"/>
    </xf>
    <xf borderId="4" fillId="4" fontId="7" numFmtId="0" xfId="0" applyAlignment="1" applyBorder="1" applyFill="1" applyFont="1">
      <alignment shrinkToFit="0" vertical="bottom" wrapText="0"/>
    </xf>
    <xf borderId="4" fillId="4" fontId="7" numFmtId="9" xfId="0" applyAlignment="1" applyBorder="1" applyFont="1" applyNumberForma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8" numFmtId="165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4" fillId="5" fontId="5" numFmtId="164" xfId="0" applyAlignment="1" applyBorder="1" applyFill="1" applyFont="1" applyNumberFormat="1">
      <alignment shrinkToFit="0" vertical="bottom" wrapText="0"/>
    </xf>
    <xf borderId="4" fillId="2" fontId="1" numFmtId="0" xfId="0" applyAlignment="1" applyBorder="1" applyFont="1">
      <alignment shrinkToFit="0" vertical="bottom" wrapText="0"/>
    </xf>
    <xf borderId="4" fillId="2" fontId="1" numFmtId="0" xfId="0" applyAlignment="1" applyBorder="1" applyFont="1">
      <alignment horizontal="center" shrinkToFit="0" vertical="bottom" wrapText="1"/>
    </xf>
    <xf borderId="0" fillId="0" fontId="2" numFmtId="9" xfId="0" applyAlignment="1" applyFont="1" applyNumberFormat="1">
      <alignment shrinkToFit="0" vertical="bottom" wrapText="0"/>
    </xf>
    <xf borderId="0" fillId="0" fontId="8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Projected Total Revenue: Current vs. Reallocated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 Revenue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'Reallocation Scenario'!$A$31:$A$32</c:f>
            </c:strRef>
          </c:cat>
          <c:val>
            <c:numRef>
              <c:f>'Reallocation Scenario'!$B$31:$B$32</c:f>
              <c:numCache/>
            </c:numRef>
          </c:val>
        </c:ser>
        <c:axId val="1909629567"/>
        <c:axId val="819286248"/>
      </c:barChart>
      <c:catAx>
        <c:axId val="1909629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Scenario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19286248"/>
      </c:catAx>
      <c:valAx>
        <c:axId val="8192862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0962956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152400</xdr:rowOff>
    </xdr:from>
    <xdr:ext cx="4781550" cy="3019425"/>
    <xdr:graphicFrame>
      <xdr:nvGraphicFramePr>
        <xdr:cNvPr id="193675632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15.0"/>
    <col customWidth="1" min="4" max="4" width="14.0"/>
    <col customWidth="1" min="5" max="5" width="15.0"/>
    <col customWidth="1" min="6" max="6" width="17.0"/>
    <col customWidth="1" min="7" max="7" width="12.0"/>
    <col customWidth="1" min="8" max="8" width="14.0"/>
    <col customWidth="1" min="9" max="9" width="16.0"/>
    <col customWidth="1" min="10" max="10" width="15.0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>
        <v>77.53012097</v>
      </c>
      <c r="C2" s="4">
        <v>2.784446361</v>
      </c>
      <c r="D2" s="3">
        <v>42.87975806</v>
      </c>
      <c r="E2" s="5">
        <v>0.2059800664</v>
      </c>
      <c r="F2" s="3">
        <v>119.3963863</v>
      </c>
      <c r="G2" s="5">
        <v>0.8080820524</v>
      </c>
      <c r="H2" s="3">
        <v>42536.72</v>
      </c>
      <c r="I2" s="6">
        <v>992.0</v>
      </c>
      <c r="J2" s="3">
        <f t="shared" ref="J2:J9" si="1">H2*(1+G2)</f>
        <v>76909.88</v>
      </c>
    </row>
    <row r="3">
      <c r="A3" s="2" t="s">
        <v>11</v>
      </c>
      <c r="B3" s="3">
        <v>94.92870996</v>
      </c>
      <c r="C3" s="4">
        <v>5.615152958</v>
      </c>
      <c r="D3" s="3">
        <v>38.39497331</v>
      </c>
      <c r="E3" s="5">
        <v>0.2007142857</v>
      </c>
      <c r="F3" s="3">
        <v>215.593648</v>
      </c>
      <c r="G3" s="5">
        <v>1.472425471</v>
      </c>
      <c r="H3" s="3">
        <v>43155.95</v>
      </c>
      <c r="I3" s="6">
        <v>1124.0</v>
      </c>
      <c r="J3" s="3">
        <f t="shared" si="1"/>
        <v>106699.87</v>
      </c>
    </row>
    <row r="4">
      <c r="A4" s="2" t="s">
        <v>12</v>
      </c>
      <c r="B4" s="3">
        <v>92.26521101</v>
      </c>
      <c r="C4" s="4">
        <v>1.355318185</v>
      </c>
      <c r="D4" s="3">
        <v>117.636055</v>
      </c>
      <c r="E4" s="5">
        <v>0.218</v>
      </c>
      <c r="F4" s="3">
        <v>159.4342846</v>
      </c>
      <c r="G4" s="5">
        <v>-0.2156723466</v>
      </c>
      <c r="H4" s="3">
        <v>64111.65</v>
      </c>
      <c r="I4" s="6">
        <v>545.0</v>
      </c>
      <c r="J4" s="3">
        <f t="shared" si="1"/>
        <v>50284.54</v>
      </c>
    </row>
    <row r="5">
      <c r="A5" s="2" t="s">
        <v>13</v>
      </c>
      <c r="B5" s="3">
        <v>87.10077736</v>
      </c>
      <c r="C5" s="4">
        <v>17.73914856</v>
      </c>
      <c r="D5" s="3">
        <v>12.0842717</v>
      </c>
      <c r="E5" s="5">
        <v>0.1907298114</v>
      </c>
      <c r="F5" s="3">
        <v>214.3646909</v>
      </c>
      <c r="G5" s="5">
        <v>6.207780455</v>
      </c>
      <c r="H5" s="3">
        <v>16011.66</v>
      </c>
      <c r="I5" s="6">
        <v>1325.0</v>
      </c>
      <c r="J5" s="3">
        <f t="shared" si="1"/>
        <v>115408.53</v>
      </c>
    </row>
    <row r="6">
      <c r="A6" s="2" t="s">
        <v>14</v>
      </c>
      <c r="B6" s="3">
        <v>74.1019488</v>
      </c>
      <c r="C6" s="4">
        <v>1.547478091</v>
      </c>
      <c r="D6" s="3">
        <v>73.37141206</v>
      </c>
      <c r="E6" s="5">
        <v>0.2448938322</v>
      </c>
      <c r="F6" s="3">
        <v>113.5406527</v>
      </c>
      <c r="G6" s="5">
        <v>0.009956694658</v>
      </c>
      <c r="H6" s="3">
        <v>88852.78</v>
      </c>
      <c r="I6" s="6">
        <v>1211.0</v>
      </c>
      <c r="J6" s="3">
        <f t="shared" si="1"/>
        <v>89737.46</v>
      </c>
    </row>
    <row r="7">
      <c r="A7" s="2" t="s">
        <v>15</v>
      </c>
      <c r="B7" s="3">
        <v>99.2066218</v>
      </c>
      <c r="C7" s="4">
        <v>3.379993664</v>
      </c>
      <c r="D7" s="3">
        <v>53.28563613</v>
      </c>
      <c r="E7" s="5">
        <v>0.2102236422</v>
      </c>
      <c r="F7" s="3">
        <v>180.1051125</v>
      </c>
      <c r="G7" s="5">
        <v>0.8617891989</v>
      </c>
      <c r="H7" s="3">
        <v>122716.82</v>
      </c>
      <c r="I7" s="6">
        <v>2303.0</v>
      </c>
      <c r="J7" s="3">
        <f t="shared" si="1"/>
        <v>228472.85</v>
      </c>
    </row>
    <row r="8">
      <c r="A8" s="2" t="s">
        <v>16</v>
      </c>
      <c r="B8" s="3">
        <v>105.7965806</v>
      </c>
      <c r="C8" s="4">
        <v>16.1470931</v>
      </c>
      <c r="D8" s="3">
        <v>20.07384684</v>
      </c>
      <c r="E8" s="5">
        <v>0.2035895577</v>
      </c>
      <c r="F8" s="3">
        <v>324.1342738</v>
      </c>
      <c r="G8" s="5">
        <v>4.270369025</v>
      </c>
      <c r="H8" s="3">
        <v>22542.93</v>
      </c>
      <c r="I8" s="6">
        <v>1123.0</v>
      </c>
      <c r="J8" s="3">
        <f t="shared" si="1"/>
        <v>118809.56</v>
      </c>
    </row>
    <row r="9">
      <c r="A9" s="2" t="s">
        <v>17</v>
      </c>
      <c r="B9" s="3">
        <v>83.14815143</v>
      </c>
      <c r="C9" s="4">
        <v>0.5816785829</v>
      </c>
      <c r="D9" s="3">
        <v>196.1525565</v>
      </c>
      <c r="E9" s="5">
        <v>0.231979927</v>
      </c>
      <c r="F9" s="3">
        <v>114.0977411</v>
      </c>
      <c r="G9" s="5">
        <v>-0.5761046764</v>
      </c>
      <c r="H9" s="3">
        <v>199487.15</v>
      </c>
      <c r="I9" s="6">
        <v>1017.0</v>
      </c>
      <c r="J9" s="3">
        <f t="shared" si="1"/>
        <v>84561.67</v>
      </c>
    </row>
    <row r="11">
      <c r="A11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22.0"/>
    <col customWidth="1" min="3" max="6" width="14.0"/>
    <col customWidth="1" min="7" max="26" width="8.71"/>
  </cols>
  <sheetData>
    <row r="1">
      <c r="A1" s="8" t="s">
        <v>18</v>
      </c>
    </row>
    <row r="3">
      <c r="A3" s="9" t="s">
        <v>19</v>
      </c>
      <c r="B3" s="10"/>
    </row>
    <row r="4">
      <c r="A4" s="11" t="s">
        <v>20</v>
      </c>
      <c r="B4" s="12" t="s">
        <v>17</v>
      </c>
    </row>
    <row r="5">
      <c r="A5" s="11" t="s">
        <v>21</v>
      </c>
      <c r="B5" s="12" t="s">
        <v>13</v>
      </c>
    </row>
    <row r="6">
      <c r="A6" s="11" t="s">
        <v>22</v>
      </c>
      <c r="B6" s="13">
        <v>0.2</v>
      </c>
    </row>
    <row r="7">
      <c r="A7" s="11" t="s">
        <v>23</v>
      </c>
      <c r="B7" s="14">
        <f t="array" ref="B7">INDEX('Model Data'!$H:$H,MATCH($B$4,'Model Data'!$A:$A,0))</f>
        <v>199487.15</v>
      </c>
    </row>
    <row r="8">
      <c r="A8" s="11" t="s">
        <v>24</v>
      </c>
      <c r="B8" s="14">
        <f>B7*$B$6</f>
        <v>39897.43</v>
      </c>
    </row>
    <row r="9">
      <c r="A9" s="11" t="s">
        <v>25</v>
      </c>
      <c r="B9" s="14">
        <f>B7-B8</f>
        <v>159589.72</v>
      </c>
    </row>
    <row r="10">
      <c r="A10" s="11" t="s">
        <v>26</v>
      </c>
      <c r="B10" s="14">
        <f t="array" ref="B10">INDEX('Model Data'!$H:$H,MATCH($B$5,'Model Data'!$A:$A,0))</f>
        <v>16011.66</v>
      </c>
    </row>
    <row r="11">
      <c r="A11" s="11" t="s">
        <v>27</v>
      </c>
      <c r="B11" s="14">
        <f>B10+B8</f>
        <v>55909.09</v>
      </c>
    </row>
    <row r="13">
      <c r="A13" s="9" t="s">
        <v>28</v>
      </c>
      <c r="B13" s="10"/>
    </row>
    <row r="14">
      <c r="A14" s="11" t="s">
        <v>29</v>
      </c>
      <c r="B14" s="15">
        <f t="array" ref="B14">INDEX('Model Data'!$J:$J,MATCH($B$4,'Model Data'!$A:$A,0))/B7</f>
        <v>0.4238953236</v>
      </c>
    </row>
    <row r="15">
      <c r="A15" s="11" t="s">
        <v>30</v>
      </c>
      <c r="B15" s="15">
        <f t="array" ref="B15">INDEX('Model Data'!$J:$J,MATCH($B$5,'Model Data'!$A:$A,0))/B10</f>
        <v>7.207780455</v>
      </c>
    </row>
    <row r="17">
      <c r="A17" s="9" t="s">
        <v>31</v>
      </c>
      <c r="B17" s="10"/>
    </row>
    <row r="18">
      <c r="A18" s="11" t="s">
        <v>32</v>
      </c>
      <c r="B18" s="14">
        <f>B8*B14</f>
        <v>16912.334</v>
      </c>
    </row>
    <row r="19">
      <c r="A19" s="11" t="s">
        <v>33</v>
      </c>
      <c r="B19" s="14">
        <f>B8*B15</f>
        <v>287571.9162</v>
      </c>
    </row>
    <row r="20">
      <c r="A20" s="16" t="s">
        <v>34</v>
      </c>
      <c r="B20" s="17">
        <f>B19-B18</f>
        <v>270659.5822</v>
      </c>
    </row>
    <row r="21" ht="15.75" customHeight="1"/>
    <row r="22" ht="15.75" customHeight="1"/>
    <row r="23" ht="15.75" customHeight="1">
      <c r="A23" s="9" t="s">
        <v>35</v>
      </c>
      <c r="B23" s="10"/>
    </row>
    <row r="24" ht="15.75" customHeight="1">
      <c r="A24" s="18" t="s">
        <v>36</v>
      </c>
      <c r="B24" s="19" t="s">
        <v>34</v>
      </c>
    </row>
    <row r="25" ht="15.75" customHeight="1">
      <c r="A25" s="20">
        <v>0.1</v>
      </c>
      <c r="B25" s="14">
        <f>(B7*0.1)*B15-(B7*0.1)*B14</f>
        <v>135329.7911</v>
      </c>
    </row>
    <row r="26" ht="15.75" customHeight="1">
      <c r="A26" s="20">
        <v>0.2</v>
      </c>
      <c r="B26" s="14">
        <f>(B7*0.2)*B15-(B7*0.2)*B14</f>
        <v>270659.5822</v>
      </c>
    </row>
    <row r="27" ht="15.75" customHeight="1">
      <c r="A27" s="20">
        <v>0.3</v>
      </c>
      <c r="B27" s="14">
        <f>(B7*0.3)*B15-(B7*0.3)*B14</f>
        <v>405989.3732</v>
      </c>
    </row>
    <row r="28" ht="15.75" customHeight="1"/>
    <row r="29" ht="15.75" customHeight="1">
      <c r="A29" s="9" t="s">
        <v>37</v>
      </c>
      <c r="B29" s="10"/>
    </row>
    <row r="30" ht="15.75" customHeight="1">
      <c r="A30" s="18" t="s">
        <v>38</v>
      </c>
      <c r="B30" s="18" t="s">
        <v>39</v>
      </c>
    </row>
    <row r="31" ht="15.75" customHeight="1">
      <c r="A31" s="11" t="s">
        <v>40</v>
      </c>
      <c r="B31" s="21">
        <f>SUM('Model Data'!J2:J9)</f>
        <v>870884.36</v>
      </c>
    </row>
    <row r="32" ht="15.75" customHeight="1">
      <c r="A32" s="11" t="s">
        <v>41</v>
      </c>
      <c r="B32" s="21">
        <f>B31-B18+B19</f>
        <v>1141543.942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6">
    <mergeCell ref="A1:C1"/>
    <mergeCell ref="A3:B3"/>
    <mergeCell ref="A13:B13"/>
    <mergeCell ref="A17:B17"/>
    <mergeCell ref="A23:B23"/>
    <mergeCell ref="A29:B29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2026-08-19T12:58:39Z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